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8C4F1C90-05EB-6A55-5F09-09C24B55AC0B}"/>
  <workbookPr codeName="ThisWorkbook" autoCompressPictures="0"/>
  <bookViews>
    <workbookView xWindow="28340" yWindow="15000" windowWidth="10080" windowHeight="8520"/>
  </bookViews>
  <sheets>
    <sheet name="Sheet1" sheetId="1" r:id="rId1"/>
    <sheet name="Sheet2" sheetId="2" r:id="rId2"/>
    <sheet name="Sheet3" sheetId="3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2" i="1"/>
  <c r="F6" i="1"/>
  <c r="F7" i="1"/>
  <c r="F8" i="1"/>
  <c r="F9" i="1"/>
  <c r="F10" i="1"/>
  <c r="G10" i="1"/>
  <c r="G9" i="1"/>
  <c r="G6" i="1"/>
  <c r="G7" i="1"/>
  <c r="G8" i="1"/>
  <c r="H6" i="1"/>
</calcChain>
</file>

<file path=xl/sharedStrings.xml><?xml version="1.0" encoding="utf-8"?>
<sst xmlns="http://schemas.openxmlformats.org/spreadsheetml/2006/main" count="16" uniqueCount="16">
  <si>
    <t>In</t>
  </si>
  <si>
    <t>Out</t>
  </si>
  <si>
    <t>Lunch</t>
  </si>
  <si>
    <t>Worked</t>
  </si>
  <si>
    <t>Expected</t>
  </si>
  <si>
    <t>Remaining</t>
  </si>
  <si>
    <t>Leave At</t>
  </si>
  <si>
    <t>Monday</t>
  </si>
  <si>
    <t>Tuesday</t>
  </si>
  <si>
    <t>Wednesday</t>
  </si>
  <si>
    <t>Thursday</t>
  </si>
  <si>
    <t>Friday</t>
  </si>
  <si>
    <t>Weekly Hours</t>
  </si>
  <si>
    <t>Hours Worked</t>
  </si>
  <si>
    <t>Carry Over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</si>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</sst>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h:mm\ AM/PM;@"/>
    <numFmt numFmtId="165" formatCode="[h]:mm:ss;@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Lucida Grande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22" fontId="0" fillId="0" borderId="0" xfId="0" applyNumberFormat="1"/>
    <xf numFmtId="0" fontId="2" fillId="3" borderId="1" xfId="0" applyFont="1" applyFill="1" applyBorder="1"/>
    <xf numFmtId="164" fontId="0" fillId="0" borderId="1" xfId="0" applyNumberFormat="1" applyBorder="1"/>
    <xf numFmtId="165" fontId="0" fillId="0" borderId="1" xfId="0" applyNumberFormat="1" applyBorder="1"/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46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635000</xdr:colOff>
      <xdr:row>11</xdr:row>
      <xdr:rowOff>101600</xdr:rowOff>
    </xdr:from>
    <xdr:to>
      <xdr:col>2</xdr:col>
      <xdr:colOff>177800</xdr:colOff>
      <xdr:row>13</xdr:row>
      <xdr:rowOff>25400</xdr:rowOff>
    </xdr:to>
    <xdr:sp macro="" textlink="">
      <xdr:nvSpPr>
        <xdr:cNvPr id="1025" name="btnClockIn" hidden="1">
          <a:extLst>
            <a:ext uri="{63B3BB69-23CF-44E3-9099-C40C66FF867C}">
              <a14:compatExt xmlns:a14="http://schemas.microsoft.com/office/drawing/2010/main" spid="_x0000_s102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520700</xdr:colOff>
      <xdr:row>11</xdr:row>
      <xdr:rowOff>88900</xdr:rowOff>
    </xdr:from>
    <xdr:to>
      <xdr:col>4</xdr:col>
      <xdr:colOff>228600</xdr:colOff>
      <xdr:row>13</xdr:row>
      <xdr:rowOff>12700</xdr:rowOff>
    </xdr:to>
    <xdr:sp macro="" textlink="">
      <xdr:nvSpPr>
        <xdr:cNvPr id="1026" name="btnClockOut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101600</xdr:colOff>
      <xdr:row>11</xdr:row>
      <xdr:rowOff>88900</xdr:rowOff>
    </xdr:from>
    <xdr:to>
      <xdr:col>6</xdr:col>
      <xdr:colOff>406400</xdr:colOff>
      <xdr:row>13</xdr:row>
      <xdr:rowOff>12700</xdr:rowOff>
    </xdr:to>
    <xdr:sp macro="" textlink="">
      <xdr:nvSpPr>
        <xdr:cNvPr id="1027" name="btnLunch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812800</xdr:colOff>
          <xdr:row>11</xdr:row>
          <xdr:rowOff>76200</xdr:rowOff>
        </xdr:from>
        <xdr:to>
          <xdr:col>2</xdr:col>
          <xdr:colOff>304800</xdr:colOff>
          <xdr:row>13</xdr:row>
          <xdr:rowOff>88900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Clock 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11</xdr:row>
          <xdr:rowOff>88900</xdr:rowOff>
        </xdr:from>
        <xdr:to>
          <xdr:col>4</xdr:col>
          <xdr:colOff>279400</xdr:colOff>
          <xdr:row>13</xdr:row>
          <xdr:rowOff>101600</xdr:rowOff>
        </xdr:to>
        <xdr:sp macro="" textlink="">
          <xdr:nvSpPr>
            <xdr:cNvPr id="3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Clock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11</xdr:row>
          <xdr:rowOff>101600</xdr:rowOff>
        </xdr:from>
        <xdr:to>
          <xdr:col>6</xdr:col>
          <xdr:colOff>342900</xdr:colOff>
          <xdr:row>13</xdr:row>
          <xdr:rowOff>114300</xdr:rowOff>
        </xdr:to>
        <xdr:sp macro="" textlink="">
          <xdr:nvSpPr>
            <xdr:cNvPr id="4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Start Lunch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I12"/>
  <sheetViews>
    <sheetView showGridLines="0" tabSelected="1" workbookViewId="0">
      <selection activeCell="D11" sqref="D11"/>
    </sheetView>
  </sheetViews>
  <sheetFormatPr baseColWidth="10" defaultColWidth="8.83203125" defaultRowHeight="14" x14ac:dyDescent="0"/>
  <cols>
    <col min="1" max="1" width="11.5" bestFit="1" customWidth="1"/>
    <col min="2" max="3" width="9" bestFit="1" customWidth="1"/>
    <col min="4" max="4" width="9.1640625" bestFit="1" customWidth="1"/>
    <col min="5" max="5" width="8.1640625" bestFit="1" customWidth="1"/>
    <col min="6" max="6" width="9.1640625" bestFit="1" customWidth="1"/>
    <col min="7" max="7" width="10.5" bestFit="1" customWidth="1"/>
    <col min="8" max="8" width="9" bestFit="1" customWidth="1"/>
  </cols>
  <sheetData>
    <row r="1" spans="1:9">
      <c r="C1" s="10" t="s">
        <v>12</v>
      </c>
      <c r="D1" s="10"/>
      <c r="E1" s="10" t="s">
        <v>13</v>
      </c>
      <c r="F1" s="10"/>
      <c r="G1" s="8" t="s">
        <v>14</v>
      </c>
    </row>
    <row r="2" spans="1:9">
      <c r="C2" s="11">
        <v>1.6666666666666667</v>
      </c>
      <c r="D2" s="11"/>
      <c r="E2" s="11">
        <f>SUM(E6:E10)</f>
        <v>1.6770254629629631</v>
      </c>
      <c r="F2" s="11"/>
      <c r="G2" s="9">
        <v>0.22916666666666666</v>
      </c>
    </row>
    <row r="3" spans="1:9">
      <c r="G3" t="s">
        <v>15</v>
      </c>
    </row>
    <row r="5" spans="1:9">
      <c r="A5" s="6"/>
      <c r="B5" s="7" t="s">
        <v>0</v>
      </c>
      <c r="C5" s="7" t="s">
        <v>1</v>
      </c>
      <c r="D5" s="7" t="s">
        <v>2</v>
      </c>
      <c r="E5" s="7" t="s">
        <v>3</v>
      </c>
      <c r="F5" s="7" t="s">
        <v>4</v>
      </c>
      <c r="G5" s="7" t="s">
        <v>5</v>
      </c>
      <c r="H5" s="7" t="s">
        <v>6</v>
      </c>
    </row>
    <row r="6" spans="1:9">
      <c r="A6" s="3" t="s">
        <v>7</v>
      </c>
      <c r="B6" s="4">
        <v>0.33333333333333331</v>
      </c>
      <c r="C6" s="4">
        <v>0.66666666666666663</v>
      </c>
      <c r="D6" s="5">
        <v>0</v>
      </c>
      <c r="E6" s="5">
        <f>C6-B6-D6</f>
        <v>0.33333333333333331</v>
      </c>
      <c r="F6" s="5">
        <f>$C$2/5</f>
        <v>0.33333333333333337</v>
      </c>
      <c r="G6" s="5">
        <f>IF(C6="","",IF(E6&gt;F6,0,F6-E6))</f>
        <v>5.5511151231257827E-17</v>
      </c>
      <c r="H6" s="12">
        <f ca="1">calcleavetime()</f>
        <v>41789.640763888892</v>
      </c>
    </row>
    <row r="7" spans="1:9">
      <c r="A7" s="3" t="s">
        <v>8</v>
      </c>
      <c r="B7" s="4">
        <v>0.40443287037037035</v>
      </c>
      <c r="C7" s="4">
        <v>0.74456018518518519</v>
      </c>
      <c r="D7" s="5">
        <v>0</v>
      </c>
      <c r="E7" s="5">
        <f>IF(C7="","",C7-B7-D7)</f>
        <v>0.34012731481481484</v>
      </c>
      <c r="F7" s="5">
        <f>IF(C7="","",$C$2/5+F6-E6)</f>
        <v>0.33333333333333343</v>
      </c>
      <c r="G7" s="5">
        <f>IF(C7="","",IF(E7&gt;F7,0,F7-E7))</f>
        <v>0</v>
      </c>
      <c r="H7" s="13"/>
      <c r="I7" s="1"/>
    </row>
    <row r="8" spans="1:9">
      <c r="A8" s="3" t="s">
        <v>9</v>
      </c>
      <c r="B8" s="4">
        <v>0.375</v>
      </c>
      <c r="C8" s="4">
        <v>0.74509259259259253</v>
      </c>
      <c r="D8" s="5">
        <v>0</v>
      </c>
      <c r="E8" s="5">
        <f>IF(C8="","",C8-B8-D8)</f>
        <v>0.37009259259259253</v>
      </c>
      <c r="F8" s="5">
        <f>IF(C8="","",$C$2/5+F7-E7)</f>
        <v>0.3265393518518519</v>
      </c>
      <c r="G8" s="5">
        <f>IF(C8="","",IF(E8&gt;F8,0,F8-E8))</f>
        <v>0</v>
      </c>
      <c r="H8" s="13"/>
    </row>
    <row r="9" spans="1:9">
      <c r="A9" s="3" t="s">
        <v>10</v>
      </c>
      <c r="B9" s="4">
        <v>0.37638888888888888</v>
      </c>
      <c r="C9" s="4">
        <v>0.72537037037037033</v>
      </c>
      <c r="D9" s="5">
        <v>4.1666666666666664E-2</v>
      </c>
      <c r="E9" s="5">
        <f>IF(C9="","",C9-B9-D9)</f>
        <v>0.30731481481481476</v>
      </c>
      <c r="F9" s="5">
        <f>IF(C9="","",$C$2/5+F8-E8)</f>
        <v>0.28978009259259274</v>
      </c>
      <c r="G9" s="5">
        <f>IF(C9="","",IF(E9&gt;F9,0,F9-E9))</f>
        <v>0</v>
      </c>
      <c r="H9" s="13"/>
    </row>
    <row r="10" spans="1:9">
      <c r="A10" s="3" t="s">
        <v>11</v>
      </c>
      <c r="B10" s="4">
        <v>0.31460648148148146</v>
      </c>
      <c r="C10" s="4">
        <v>0.64076388888888891</v>
      </c>
      <c r="D10" s="5">
        <v>0</v>
      </c>
      <c r="E10" s="5">
        <f>IF(C10="","",C10-B10-D10)</f>
        <v>0.32615740740740745</v>
      </c>
      <c r="F10" s="5">
        <f>IF(C10="","",$C$2/5+F9-E9)</f>
        <v>0.31579861111111135</v>
      </c>
      <c r="G10" s="5">
        <f>IF(C10="","",IF(E10&gt;F10,0,F10-E10))</f>
        <v>0</v>
      </c>
      <c r="H10" s="14"/>
    </row>
    <row r="11" spans="1:9">
      <c r="B11" s="1"/>
      <c r="C11" s="1"/>
      <c r="D11" s="1"/>
      <c r="E11" s="1"/>
      <c r="F11" s="1"/>
      <c r="G11" s="1"/>
      <c r="H11" s="1"/>
    </row>
    <row r="12" spans="1:9">
      <c r="B12" s="2"/>
    </row>
  </sheetData>
  <dataConsolidate/>
  <mergeCells count="5">
    <mergeCell ref="C1:D1"/>
    <mergeCell ref="C2:D2"/>
    <mergeCell ref="E1:F1"/>
    <mergeCell ref="E2:F2"/>
    <mergeCell ref="H6:H10"/>
  </mergeCells>
  <pageMargins left="0.7" right="0.7" top="0.75" bottom="0.75" header="0.3" footer="0.3"/>
  <pageSetup orientation="portrait"/>
  <ignoredErrors>
    <ignoredError sqref="E10:G10 E9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3" name="Button 1">
              <controlPr defaultSize="0" print="0" autoFill="0" autoPict="0" macro="[0]!btnClockIn_Click">
                <anchor moveWithCells="1">
                  <from>
                    <xdr:col>0</xdr:col>
                    <xdr:colOff>812800</xdr:colOff>
                    <xdr:row>11</xdr:row>
                    <xdr:rowOff>76200</xdr:rowOff>
                  </from>
                  <to>
                    <xdr:col>2</xdr:col>
                    <xdr:colOff>304800</xdr:colOff>
                    <xdr:row>13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" r:id="rId4" name="Button 2">
              <controlPr defaultSize="0" print="0" autoFill="0" autoPict="0" macro="[0]!btnClockOut_Click">
                <anchor moveWithCells="1">
                  <from>
                    <xdr:col>2</xdr:col>
                    <xdr:colOff>609600</xdr:colOff>
                    <xdr:row>11</xdr:row>
                    <xdr:rowOff>88900</xdr:rowOff>
                  </from>
                  <to>
                    <xdr:col>4</xdr:col>
                    <xdr:colOff>279400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" r:id="rId5" name="Button 3">
              <controlPr defaultSize="0" print="0" autoFill="0" autoPict="0" macro="[0]!btnLunch_Click">
                <anchor moveWithCells="1" sizeWithCells="1">
                  <from>
                    <xdr:col>4</xdr:col>
                    <xdr:colOff>609600</xdr:colOff>
                    <xdr:row>11</xdr:row>
                    <xdr:rowOff>101600</xdr:rowOff>
                  </from>
                  <to>
                    <xdr:col>6</xdr:col>
                    <xdr:colOff>342900</xdr:colOff>
                    <xdr:row>13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Xactware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Cody Johnson</dc:creator>
  <cp:lastModifiedBy>Cody Johnson</cp:lastModifiedBy>
  <dcterms:created xsi:type="dcterms:W3CDTF">2012-11-08T15:08:38Z</dcterms:created>
  <dcterms:modified xsi:type="dcterms:W3CDTF">2014-05-30T21:22:43Z</dcterms:modified>
</cp:coreProperties>
</file>